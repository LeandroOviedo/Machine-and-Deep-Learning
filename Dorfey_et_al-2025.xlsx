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 Oviedo\Documents\Thiago Volkmer\"/>
    </mc:Choice>
  </mc:AlternateContent>
  <xr:revisionPtr revIDLastSave="0" documentId="13_ncr:1_{064650CF-0553-45A2-A122-E2E26C36BD17}" xr6:coauthVersionLast="47" xr6:coauthVersionMax="47" xr10:uidLastSave="{00000000-0000-0000-0000-000000000000}"/>
  <bookViews>
    <workbookView xWindow="-120" yWindow="-120" windowWidth="20730" windowHeight="11040" xr2:uid="{DBFD0DEA-D357-42A4-AE00-E1A3D19EF51C}"/>
  </bookViews>
  <sheets>
    <sheet name="Data" sheetId="3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3" l="1"/>
  <c r="G44" i="3"/>
  <c r="G52" i="3"/>
  <c r="G53" i="3"/>
  <c r="G88" i="3"/>
  <c r="G89" i="3"/>
  <c r="G90" i="3"/>
  <c r="G91" i="3"/>
  <c r="H91" i="3" s="1"/>
  <c r="G87" i="3"/>
  <c r="H87" i="3" s="1"/>
  <c r="H85" i="3"/>
  <c r="H88" i="3"/>
  <c r="H89" i="3"/>
  <c r="H90" i="3"/>
  <c r="H73" i="3"/>
  <c r="H78" i="3"/>
  <c r="H81" i="3"/>
  <c r="G76" i="3"/>
  <c r="H76" i="3" s="1"/>
  <c r="G77" i="3"/>
  <c r="H77" i="3" s="1"/>
  <c r="G78" i="3"/>
  <c r="G79" i="3"/>
  <c r="H79" i="3" s="1"/>
  <c r="G80" i="3"/>
  <c r="H80" i="3" s="1"/>
  <c r="G81" i="3"/>
  <c r="G75" i="3"/>
  <c r="H75" i="3" s="1"/>
  <c r="G65" i="3"/>
  <c r="H65" i="3" s="1"/>
  <c r="G66" i="3"/>
  <c r="G67" i="3"/>
  <c r="G68" i="3"/>
  <c r="G69" i="3"/>
  <c r="H69" i="3" s="1"/>
  <c r="G70" i="3"/>
  <c r="H70" i="3" s="1"/>
  <c r="G71" i="3"/>
  <c r="H71" i="3" s="1"/>
  <c r="G64" i="3"/>
  <c r="H64" i="3" s="1"/>
  <c r="G72" i="3"/>
  <c r="H72" i="3" s="1"/>
  <c r="G73" i="3"/>
  <c r="G74" i="3"/>
  <c r="H74" i="3" s="1"/>
  <c r="G82" i="3"/>
  <c r="H82" i="3" s="1"/>
  <c r="G83" i="3"/>
  <c r="H83" i="3" s="1"/>
  <c r="G84" i="3"/>
  <c r="H84" i="3" s="1"/>
  <c r="G85" i="3"/>
  <c r="G86" i="3"/>
  <c r="H86" i="3" s="1"/>
  <c r="H66" i="3"/>
  <c r="H67" i="3"/>
  <c r="H68" i="3"/>
  <c r="H57" i="3"/>
  <c r="H58" i="3"/>
  <c r="H59" i="3"/>
  <c r="H44" i="3"/>
  <c r="H36" i="3"/>
  <c r="H22" i="3"/>
  <c r="G63" i="3"/>
  <c r="H63" i="3" s="1"/>
  <c r="H56" i="3"/>
  <c r="G62" i="3"/>
  <c r="H62" i="3" s="1"/>
  <c r="H61" i="3"/>
  <c r="H60" i="3"/>
  <c r="G55" i="3"/>
  <c r="H55" i="3" s="1"/>
  <c r="G54" i="3"/>
  <c r="H54" i="3" s="1"/>
  <c r="H53" i="3"/>
  <c r="H52" i="3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3" i="3"/>
  <c r="H43" i="3" s="1"/>
  <c r="G42" i="3"/>
  <c r="H42" i="3" s="1"/>
  <c r="G41" i="3"/>
  <c r="H41" i="3" s="1"/>
  <c r="G40" i="3"/>
  <c r="H40" i="3" s="1"/>
  <c r="G39" i="3"/>
  <c r="H39" i="3" s="1"/>
  <c r="G38" i="3"/>
  <c r="H38" i="3" s="1"/>
  <c r="G37" i="3"/>
  <c r="H37" i="3" s="1"/>
  <c r="G36" i="3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G2" i="3"/>
  <c r="H2" i="3" s="1"/>
</calcChain>
</file>

<file path=xl/sharedStrings.xml><?xml version="1.0" encoding="utf-8"?>
<sst xmlns="http://schemas.openxmlformats.org/spreadsheetml/2006/main" count="98" uniqueCount="10">
  <si>
    <t>pH</t>
  </si>
  <si>
    <t>Dye</t>
  </si>
  <si>
    <t>Concentration</t>
  </si>
  <si>
    <t>Time</t>
  </si>
  <si>
    <t>Qt</t>
  </si>
  <si>
    <t>mass</t>
  </si>
  <si>
    <t>C</t>
  </si>
  <si>
    <t>%R</t>
  </si>
  <si>
    <t>MB dye</t>
  </si>
  <si>
    <t>RhB dye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</si>
</sst>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9525</xdr:rowOff>
    </xdr:from>
    <xdr:to>
      <xdr:col>8</xdr:col>
      <xdr:colOff>372164</xdr:colOff>
      <xdr:row>10</xdr:row>
      <xdr:rowOff>152606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26A607-20B9-450F-89F1-29E401530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581025"/>
          <a:ext cx="4934639" cy="1476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E423-7F29-4D96-802E-88143910FAB5}">
  <dimension ref="A1:H91"/>
  <sheetViews>
    <sheetView tabSelected="1" topLeftCell="A73" workbookViewId="0">
      <selection activeCell="O7" sqref="O7"/>
    </sheetView>
  </sheetViews>
  <sheetFormatPr defaultRowHeight="15" x14ac:dyDescent="0.25"/>
  <cols>
    <col min="2" max="2" width="21.85546875" customWidth="1"/>
    <col min="3" max="3" width="19.5703125" customWidth="1"/>
    <col min="4" max="5" width="9.140625" customWidth="1"/>
    <col min="6" max="6" width="10.28515625" customWidth="1"/>
    <col min="7" max="7" width="9.140625" customWidth="1"/>
    <col min="10" max="10" width="9.140625" customWidth="1"/>
  </cols>
  <sheetData>
    <row r="1" spans="1:8" x14ac:dyDescent="0.25">
      <c r="A1" s="2" t="s">
        <v>1</v>
      </c>
      <c r="B1" s="2" t="s">
        <v>2</v>
      </c>
      <c r="C1" s="2" t="s">
        <v>5</v>
      </c>
      <c r="D1" s="2" t="s">
        <v>0</v>
      </c>
      <c r="E1" s="2" t="s">
        <v>3</v>
      </c>
      <c r="F1" s="2" t="s">
        <v>4</v>
      </c>
      <c r="G1" s="2" t="s">
        <v>6</v>
      </c>
      <c r="H1" s="2" t="s">
        <v>7</v>
      </c>
    </row>
    <row r="2" spans="1:8" x14ac:dyDescent="0.25">
      <c r="A2" s="1" t="s">
        <v>8</v>
      </c>
      <c r="B2" s="1">
        <v>20</v>
      </c>
      <c r="C2" s="1">
        <v>0.15</v>
      </c>
      <c r="D2" s="1">
        <v>4.3</v>
      </c>
      <c r="E2" s="1">
        <v>0</v>
      </c>
      <c r="F2" s="1">
        <v>0</v>
      </c>
      <c r="G2" s="1">
        <f>B2-F2*(C2/0.1)</f>
        <v>20</v>
      </c>
      <c r="H2">
        <f>($B$2-G2)/$B$2*100</f>
        <v>0</v>
      </c>
    </row>
    <row r="3" spans="1:8" x14ac:dyDescent="0.25">
      <c r="A3" s="1" t="s">
        <v>8</v>
      </c>
      <c r="B3" s="1">
        <v>20</v>
      </c>
      <c r="C3" s="1">
        <v>0.15</v>
      </c>
      <c r="D3" s="1">
        <v>4.3</v>
      </c>
      <c r="E3" s="1">
        <v>5</v>
      </c>
      <c r="F3" s="1">
        <v>3.3898305084745775</v>
      </c>
      <c r="G3" s="1">
        <f t="shared" ref="G3:G63" si="0">B3-F3*(C3/0.1)</f>
        <v>14.915254237288135</v>
      </c>
      <c r="H3">
        <f t="shared" ref="H3:H11" si="1">($B$2-G3)/$B$2*100</f>
        <v>25.423728813559325</v>
      </c>
    </row>
    <row r="4" spans="1:8" x14ac:dyDescent="0.25">
      <c r="A4" s="1" t="s">
        <v>8</v>
      </c>
      <c r="B4" s="1">
        <v>20</v>
      </c>
      <c r="C4" s="1">
        <v>0.15</v>
      </c>
      <c r="D4" s="1">
        <v>4.3</v>
      </c>
      <c r="E4" s="1">
        <v>15</v>
      </c>
      <c r="F4" s="1">
        <v>7.0056497175141246</v>
      </c>
      <c r="G4" s="1">
        <f t="shared" si="0"/>
        <v>9.4915254237288149</v>
      </c>
      <c r="H4">
        <f t="shared" si="1"/>
        <v>52.542372881355924</v>
      </c>
    </row>
    <row r="5" spans="1:8" x14ac:dyDescent="0.25">
      <c r="A5" s="1" t="s">
        <v>8</v>
      </c>
      <c r="B5" s="1">
        <v>20</v>
      </c>
      <c r="C5" s="1">
        <v>0.15</v>
      </c>
      <c r="D5" s="1">
        <v>4.3</v>
      </c>
      <c r="E5" s="1">
        <v>30</v>
      </c>
      <c r="F5" s="1">
        <v>8.5875706214689274</v>
      </c>
      <c r="G5" s="1">
        <f t="shared" si="0"/>
        <v>7.1186440677966107</v>
      </c>
      <c r="H5">
        <f t="shared" si="1"/>
        <v>64.406779661016941</v>
      </c>
    </row>
    <row r="6" spans="1:8" x14ac:dyDescent="0.25">
      <c r="A6" s="1" t="s">
        <v>8</v>
      </c>
      <c r="B6" s="1">
        <v>20</v>
      </c>
      <c r="C6" s="1">
        <v>0.15</v>
      </c>
      <c r="D6" s="1">
        <v>4.3</v>
      </c>
      <c r="E6" s="1">
        <v>45</v>
      </c>
      <c r="F6" s="1">
        <v>9.7175141242937855</v>
      </c>
      <c r="G6" s="1">
        <f t="shared" si="0"/>
        <v>5.4237288135593236</v>
      </c>
      <c r="H6">
        <f t="shared" si="1"/>
        <v>72.881355932203391</v>
      </c>
    </row>
    <row r="7" spans="1:8" x14ac:dyDescent="0.25">
      <c r="A7" s="1" t="s">
        <v>8</v>
      </c>
      <c r="B7" s="1">
        <v>20</v>
      </c>
      <c r="C7" s="1">
        <v>0.15</v>
      </c>
      <c r="D7" s="1">
        <v>4.3</v>
      </c>
      <c r="E7" s="1">
        <v>60</v>
      </c>
      <c r="F7" s="1">
        <v>10.16949152542373</v>
      </c>
      <c r="G7" s="1">
        <f t="shared" si="0"/>
        <v>4.7457627118644066</v>
      </c>
      <c r="H7">
        <f t="shared" si="1"/>
        <v>76.271186440677965</v>
      </c>
    </row>
    <row r="8" spans="1:8" x14ac:dyDescent="0.25">
      <c r="A8" s="1" t="s">
        <v>8</v>
      </c>
      <c r="B8" s="1">
        <v>20</v>
      </c>
      <c r="C8" s="1">
        <v>0.15</v>
      </c>
      <c r="D8" s="1">
        <v>4.3</v>
      </c>
      <c r="E8" s="1">
        <v>90</v>
      </c>
      <c r="F8" s="1">
        <v>10.621468926553675</v>
      </c>
      <c r="G8" s="1">
        <f t="shared" si="0"/>
        <v>4.0677966101694896</v>
      </c>
      <c r="H8">
        <f t="shared" si="1"/>
        <v>79.661016949152554</v>
      </c>
    </row>
    <row r="9" spans="1:8" x14ac:dyDescent="0.25">
      <c r="A9" s="1" t="s">
        <v>8</v>
      </c>
      <c r="B9" s="1">
        <v>20</v>
      </c>
      <c r="C9" s="1">
        <v>0.15</v>
      </c>
      <c r="D9" s="1">
        <v>4.3</v>
      </c>
      <c r="E9" s="1">
        <v>120</v>
      </c>
      <c r="F9" s="1">
        <v>11.525423728813561</v>
      </c>
      <c r="G9" s="1">
        <f t="shared" si="0"/>
        <v>2.7118644067796609</v>
      </c>
      <c r="H9">
        <f t="shared" si="1"/>
        <v>86.440677966101703</v>
      </c>
    </row>
    <row r="10" spans="1:8" x14ac:dyDescent="0.25">
      <c r="A10" s="1" t="s">
        <v>8</v>
      </c>
      <c r="B10" s="1">
        <v>20</v>
      </c>
      <c r="C10" s="1">
        <v>0.15</v>
      </c>
      <c r="D10" s="1">
        <v>4.3</v>
      </c>
      <c r="E10" s="1">
        <v>150</v>
      </c>
      <c r="F10" s="1">
        <v>12.429378531073446</v>
      </c>
      <c r="G10" s="1">
        <f t="shared" si="0"/>
        <v>1.355932203389834</v>
      </c>
      <c r="H10">
        <f t="shared" si="1"/>
        <v>93.220338983050837</v>
      </c>
    </row>
    <row r="11" spans="1:8" x14ac:dyDescent="0.25">
      <c r="A11" s="1" t="s">
        <v>8</v>
      </c>
      <c r="B11" s="1">
        <v>20</v>
      </c>
      <c r="C11" s="1">
        <v>0.15</v>
      </c>
      <c r="D11" s="1">
        <v>4.3</v>
      </c>
      <c r="E11" s="1">
        <v>180</v>
      </c>
      <c r="F11" s="1">
        <v>12.655367231638419</v>
      </c>
      <c r="G11" s="1">
        <f t="shared" si="0"/>
        <v>1.0169491525423737</v>
      </c>
      <c r="H11">
        <f t="shared" si="1"/>
        <v>94.915254237288124</v>
      </c>
    </row>
    <row r="12" spans="1:8" x14ac:dyDescent="0.25">
      <c r="A12" s="1" t="s">
        <v>8</v>
      </c>
      <c r="B12" s="1">
        <v>50</v>
      </c>
      <c r="C12" s="1">
        <v>0.15</v>
      </c>
      <c r="D12" s="1">
        <v>4.3</v>
      </c>
      <c r="E12" s="1">
        <v>0</v>
      </c>
      <c r="F12">
        <v>0</v>
      </c>
      <c r="G12" s="1">
        <f t="shared" si="0"/>
        <v>50</v>
      </c>
      <c r="H12">
        <f>($B$12-G12)/$B$12*100</f>
        <v>0</v>
      </c>
    </row>
    <row r="13" spans="1:8" x14ac:dyDescent="0.25">
      <c r="A13" s="1" t="s">
        <v>8</v>
      </c>
      <c r="B13" s="1">
        <v>50</v>
      </c>
      <c r="C13" s="1">
        <v>0.15</v>
      </c>
      <c r="D13" s="1">
        <v>4.3</v>
      </c>
      <c r="E13" s="1">
        <v>5</v>
      </c>
      <c r="F13">
        <v>9.8901098901098941</v>
      </c>
      <c r="G13" s="1">
        <f t="shared" si="0"/>
        <v>35.164835164835161</v>
      </c>
      <c r="H13">
        <f t="shared" ref="H13:H21" si="2">($B$12-G13)/$B$12*100</f>
        <v>29.670329670329675</v>
      </c>
    </row>
    <row r="14" spans="1:8" x14ac:dyDescent="0.25">
      <c r="A14" s="1" t="s">
        <v>8</v>
      </c>
      <c r="B14" s="1">
        <v>50</v>
      </c>
      <c r="C14" s="1">
        <v>0.15</v>
      </c>
      <c r="D14" s="1">
        <v>4.3</v>
      </c>
      <c r="E14" s="1">
        <v>15</v>
      </c>
      <c r="F14">
        <v>12.210012210012216</v>
      </c>
      <c r="G14" s="1">
        <f t="shared" si="0"/>
        <v>31.684981684981679</v>
      </c>
      <c r="H14">
        <f t="shared" si="2"/>
        <v>36.630036630036642</v>
      </c>
    </row>
    <row r="15" spans="1:8" x14ac:dyDescent="0.25">
      <c r="A15" s="1" t="s">
        <v>8</v>
      </c>
      <c r="B15" s="1">
        <v>50</v>
      </c>
      <c r="C15" s="1">
        <v>0.15</v>
      </c>
      <c r="D15" s="1">
        <v>4.3</v>
      </c>
      <c r="E15" s="1">
        <v>30</v>
      </c>
      <c r="F15">
        <v>19.780219780219781</v>
      </c>
      <c r="G15" s="1">
        <f t="shared" si="0"/>
        <v>20.329670329670332</v>
      </c>
      <c r="H15">
        <f t="shared" si="2"/>
        <v>59.340659340659343</v>
      </c>
    </row>
    <row r="16" spans="1:8" x14ac:dyDescent="0.25">
      <c r="A16" s="1" t="s">
        <v>8</v>
      </c>
      <c r="B16" s="1">
        <v>50</v>
      </c>
      <c r="C16" s="1">
        <v>0.15</v>
      </c>
      <c r="D16" s="1">
        <v>4.3</v>
      </c>
      <c r="E16" s="1">
        <v>45</v>
      </c>
      <c r="F16">
        <v>20.634920634920636</v>
      </c>
      <c r="G16" s="1">
        <f t="shared" si="0"/>
        <v>19.047619047619051</v>
      </c>
      <c r="H16">
        <f t="shared" si="2"/>
        <v>61.904761904761898</v>
      </c>
    </row>
    <row r="17" spans="1:8" x14ac:dyDescent="0.25">
      <c r="A17" s="1" t="s">
        <v>8</v>
      </c>
      <c r="B17" s="1">
        <v>50</v>
      </c>
      <c r="C17" s="1">
        <v>0.15</v>
      </c>
      <c r="D17" s="1">
        <v>4.3</v>
      </c>
      <c r="E17" s="1">
        <v>60</v>
      </c>
      <c r="F17">
        <v>22.222222222222229</v>
      </c>
      <c r="G17" s="1">
        <f t="shared" si="0"/>
        <v>16.666666666666664</v>
      </c>
      <c r="H17">
        <f t="shared" si="2"/>
        <v>66.666666666666671</v>
      </c>
    </row>
    <row r="18" spans="1:8" x14ac:dyDescent="0.25">
      <c r="A18" s="1" t="s">
        <v>8</v>
      </c>
      <c r="B18" s="1">
        <v>50</v>
      </c>
      <c r="C18" s="1">
        <v>0.15</v>
      </c>
      <c r="D18" s="1">
        <v>4.3</v>
      </c>
      <c r="E18" s="1">
        <v>90</v>
      </c>
      <c r="F18">
        <v>22.954822954822959</v>
      </c>
      <c r="G18" s="1">
        <f t="shared" si="0"/>
        <v>15.567765567765569</v>
      </c>
      <c r="H18">
        <f t="shared" si="2"/>
        <v>68.864468864468861</v>
      </c>
    </row>
    <row r="19" spans="1:8" x14ac:dyDescent="0.25">
      <c r="A19" s="1" t="s">
        <v>8</v>
      </c>
      <c r="B19" s="1">
        <v>50</v>
      </c>
      <c r="C19" s="1">
        <v>0.15</v>
      </c>
      <c r="D19" s="1">
        <v>4.3</v>
      </c>
      <c r="E19" s="1">
        <v>120</v>
      </c>
      <c r="F19">
        <v>23.565323565323567</v>
      </c>
      <c r="G19" s="1">
        <f t="shared" si="0"/>
        <v>14.652014652014657</v>
      </c>
      <c r="H19">
        <f t="shared" si="2"/>
        <v>70.695970695970686</v>
      </c>
    </row>
    <row r="20" spans="1:8" x14ac:dyDescent="0.25">
      <c r="A20" s="1" t="s">
        <v>8</v>
      </c>
      <c r="B20" s="1">
        <v>50</v>
      </c>
      <c r="C20" s="1">
        <v>0.15</v>
      </c>
      <c r="D20" s="1">
        <v>4.3</v>
      </c>
      <c r="E20" s="1">
        <v>150</v>
      </c>
      <c r="F20">
        <v>25.885225885225893</v>
      </c>
      <c r="G20" s="1">
        <f t="shared" si="0"/>
        <v>11.172161172161168</v>
      </c>
      <c r="H20">
        <f t="shared" si="2"/>
        <v>77.655677655677664</v>
      </c>
    </row>
    <row r="21" spans="1:8" x14ac:dyDescent="0.25">
      <c r="A21" s="1" t="s">
        <v>8</v>
      </c>
      <c r="B21" s="1">
        <v>50</v>
      </c>
      <c r="C21" s="1">
        <v>0.15</v>
      </c>
      <c r="D21" s="1">
        <v>4.3</v>
      </c>
      <c r="E21" s="1">
        <v>180</v>
      </c>
      <c r="F21">
        <v>26.495726495726498</v>
      </c>
      <c r="G21" s="1">
        <f t="shared" si="0"/>
        <v>10.256410256410263</v>
      </c>
      <c r="H21">
        <f t="shared" si="2"/>
        <v>79.487179487179475</v>
      </c>
    </row>
    <row r="22" spans="1:8" x14ac:dyDescent="0.25">
      <c r="A22" s="1" t="s">
        <v>8</v>
      </c>
      <c r="B22" s="1">
        <v>100</v>
      </c>
      <c r="C22" s="1">
        <v>0.15</v>
      </c>
      <c r="D22" s="1">
        <v>4.3</v>
      </c>
      <c r="E22" s="1">
        <v>0</v>
      </c>
      <c r="F22">
        <v>0</v>
      </c>
      <c r="G22" s="1">
        <f t="shared" si="0"/>
        <v>100</v>
      </c>
      <c r="H22">
        <f>($B$22-G22)/$B$22*100</f>
        <v>0</v>
      </c>
    </row>
    <row r="23" spans="1:8" x14ac:dyDescent="0.25">
      <c r="A23" s="1" t="s">
        <v>8</v>
      </c>
      <c r="B23" s="1">
        <v>100</v>
      </c>
      <c r="C23" s="1">
        <v>0.15</v>
      </c>
      <c r="D23" s="1">
        <v>4.3</v>
      </c>
      <c r="E23" s="1">
        <v>5</v>
      </c>
      <c r="F23">
        <v>12.197686645636168</v>
      </c>
      <c r="G23" s="1">
        <f t="shared" si="0"/>
        <v>81.703470031545748</v>
      </c>
      <c r="H23">
        <f t="shared" ref="H23:H31" si="3">($B$22-G23)/$B$22*100</f>
        <v>18.296529968454252</v>
      </c>
    </row>
    <row r="24" spans="1:8" x14ac:dyDescent="0.25">
      <c r="A24" s="1" t="s">
        <v>8</v>
      </c>
      <c r="B24" s="1">
        <v>100</v>
      </c>
      <c r="C24" s="1">
        <v>0.15</v>
      </c>
      <c r="D24" s="1">
        <v>4.3</v>
      </c>
      <c r="E24" s="1">
        <v>15</v>
      </c>
      <c r="F24">
        <v>15.141955835962149</v>
      </c>
      <c r="G24" s="1">
        <f t="shared" si="0"/>
        <v>77.287066246056781</v>
      </c>
      <c r="H24">
        <f t="shared" si="3"/>
        <v>22.712933753943219</v>
      </c>
    </row>
    <row r="25" spans="1:8" x14ac:dyDescent="0.25">
      <c r="A25" s="1" t="s">
        <v>8</v>
      </c>
      <c r="B25" s="1">
        <v>100</v>
      </c>
      <c r="C25" s="1">
        <v>0.15</v>
      </c>
      <c r="D25" s="1">
        <v>4.3</v>
      </c>
      <c r="E25" s="1">
        <v>30</v>
      </c>
      <c r="F25">
        <v>30.494216614090437</v>
      </c>
      <c r="G25" s="1">
        <f t="shared" si="0"/>
        <v>54.25867507886435</v>
      </c>
      <c r="H25">
        <f t="shared" si="3"/>
        <v>45.74132492113565</v>
      </c>
    </row>
    <row r="26" spans="1:8" x14ac:dyDescent="0.25">
      <c r="A26" s="1" t="s">
        <v>8</v>
      </c>
      <c r="B26" s="1">
        <v>100</v>
      </c>
      <c r="C26" s="1">
        <v>0.15</v>
      </c>
      <c r="D26" s="1">
        <v>4.3</v>
      </c>
      <c r="E26" s="1">
        <v>45</v>
      </c>
      <c r="F26">
        <v>32.386961093585704</v>
      </c>
      <c r="G26" s="1">
        <f t="shared" si="0"/>
        <v>51.419558359621455</v>
      </c>
      <c r="H26">
        <f t="shared" si="3"/>
        <v>48.580441640378545</v>
      </c>
    </row>
    <row r="27" spans="1:8" x14ac:dyDescent="0.25">
      <c r="A27" s="1" t="s">
        <v>8</v>
      </c>
      <c r="B27" s="1">
        <v>100</v>
      </c>
      <c r="C27" s="1">
        <v>0.15</v>
      </c>
      <c r="D27" s="1">
        <v>4.3</v>
      </c>
      <c r="E27" s="1">
        <v>60</v>
      </c>
      <c r="F27">
        <v>34.700315457413261</v>
      </c>
      <c r="G27" s="1">
        <f t="shared" si="0"/>
        <v>47.949526813880119</v>
      </c>
      <c r="H27">
        <f t="shared" si="3"/>
        <v>52.050473186119881</v>
      </c>
    </row>
    <row r="28" spans="1:8" x14ac:dyDescent="0.25">
      <c r="A28" s="1" t="s">
        <v>8</v>
      </c>
      <c r="B28" s="1">
        <v>100</v>
      </c>
      <c r="C28" s="1">
        <v>0.15</v>
      </c>
      <c r="D28" s="1">
        <v>4.3</v>
      </c>
      <c r="E28" s="1">
        <v>90</v>
      </c>
      <c r="F28">
        <v>38.485804416403795</v>
      </c>
      <c r="G28" s="1">
        <f t="shared" si="0"/>
        <v>42.271293375394315</v>
      </c>
      <c r="H28">
        <f t="shared" si="3"/>
        <v>57.728706624605685</v>
      </c>
    </row>
    <row r="29" spans="1:8" x14ac:dyDescent="0.25">
      <c r="A29" s="1" t="s">
        <v>8</v>
      </c>
      <c r="B29" s="1">
        <v>100</v>
      </c>
      <c r="C29" s="1">
        <v>0.15</v>
      </c>
      <c r="D29" s="1">
        <v>4.3</v>
      </c>
      <c r="E29" s="1">
        <v>120</v>
      </c>
      <c r="F29">
        <v>41.009463722397477</v>
      </c>
      <c r="G29" s="1">
        <f t="shared" si="0"/>
        <v>38.485804416403795</v>
      </c>
      <c r="H29">
        <f t="shared" si="3"/>
        <v>61.514195583596212</v>
      </c>
    </row>
    <row r="30" spans="1:8" x14ac:dyDescent="0.25">
      <c r="A30" s="1" t="s">
        <v>8</v>
      </c>
      <c r="B30" s="1">
        <v>100</v>
      </c>
      <c r="C30" s="1">
        <v>0.15</v>
      </c>
      <c r="D30" s="1">
        <v>4.3</v>
      </c>
      <c r="E30" s="1">
        <v>150</v>
      </c>
      <c r="F30">
        <v>42.691903259726615</v>
      </c>
      <c r="G30" s="1">
        <f t="shared" si="0"/>
        <v>35.962145110410091</v>
      </c>
      <c r="H30">
        <f t="shared" si="3"/>
        <v>64.037854889589909</v>
      </c>
    </row>
    <row r="31" spans="1:8" x14ac:dyDescent="0.25">
      <c r="A31" s="1" t="s">
        <v>8</v>
      </c>
      <c r="B31" s="1">
        <v>100</v>
      </c>
      <c r="C31" s="1">
        <v>0.15</v>
      </c>
      <c r="D31" s="1">
        <v>4.3</v>
      </c>
      <c r="E31" s="1">
        <v>180</v>
      </c>
      <c r="F31">
        <v>48.37013669821242</v>
      </c>
      <c r="G31" s="1">
        <f t="shared" si="0"/>
        <v>27.444794952681377</v>
      </c>
      <c r="H31">
        <f t="shared" si="3"/>
        <v>72.555205047318623</v>
      </c>
    </row>
    <row r="32" spans="1:8" x14ac:dyDescent="0.25">
      <c r="A32" s="1" t="s">
        <v>8</v>
      </c>
      <c r="B32" s="1">
        <v>150</v>
      </c>
      <c r="C32" s="1">
        <v>0.15</v>
      </c>
      <c r="D32" s="1">
        <v>4.3</v>
      </c>
      <c r="E32" s="1">
        <v>0</v>
      </c>
      <c r="F32">
        <v>0</v>
      </c>
      <c r="G32" s="1">
        <f t="shared" si="0"/>
        <v>150</v>
      </c>
      <c r="H32">
        <f>($B$32-G32)/$B$32*100</f>
        <v>0</v>
      </c>
    </row>
    <row r="33" spans="1:8" x14ac:dyDescent="0.25">
      <c r="A33" s="1" t="s">
        <v>8</v>
      </c>
      <c r="B33" s="1">
        <v>150</v>
      </c>
      <c r="C33" s="1">
        <v>0.15</v>
      </c>
      <c r="D33" s="1">
        <v>4.3</v>
      </c>
      <c r="E33" s="1">
        <v>5</v>
      </c>
      <c r="F33">
        <v>13.476218438050488</v>
      </c>
      <c r="G33" s="1">
        <f t="shared" si="0"/>
        <v>129.78567234292427</v>
      </c>
      <c r="H33">
        <f t="shared" ref="H33:H41" si="4">($B$32-G33)/$B$32*100</f>
        <v>13.476218438050486</v>
      </c>
    </row>
    <row r="34" spans="1:8" x14ac:dyDescent="0.25">
      <c r="A34" s="1" t="s">
        <v>8</v>
      </c>
      <c r="B34" s="1">
        <v>150</v>
      </c>
      <c r="C34" s="1">
        <v>0.15</v>
      </c>
      <c r="D34" s="1">
        <v>4.3</v>
      </c>
      <c r="E34" s="1">
        <v>15</v>
      </c>
      <c r="F34">
        <v>15.091015854374625</v>
      </c>
      <c r="G34" s="1">
        <f t="shared" si="0"/>
        <v>127.36347621843807</v>
      </c>
      <c r="H34">
        <f t="shared" si="4"/>
        <v>15.091015854374623</v>
      </c>
    </row>
    <row r="35" spans="1:8" x14ac:dyDescent="0.25">
      <c r="A35" s="1" t="s">
        <v>8</v>
      </c>
      <c r="B35" s="1">
        <v>150</v>
      </c>
      <c r="C35" s="1">
        <v>0.15</v>
      </c>
      <c r="D35" s="1">
        <v>4.3</v>
      </c>
      <c r="E35" s="1">
        <v>30</v>
      </c>
      <c r="F35">
        <v>17.73341162654139</v>
      </c>
      <c r="G35" s="1">
        <f t="shared" si="0"/>
        <v>123.39988256018792</v>
      </c>
      <c r="H35">
        <f t="shared" si="4"/>
        <v>17.733411626541386</v>
      </c>
    </row>
    <row r="36" spans="1:8" x14ac:dyDescent="0.25">
      <c r="A36" s="1" t="s">
        <v>8</v>
      </c>
      <c r="B36" s="1">
        <v>150</v>
      </c>
      <c r="C36" s="1">
        <v>0.15</v>
      </c>
      <c r="D36" s="1">
        <v>4.3</v>
      </c>
      <c r="E36" s="1">
        <v>45</v>
      </c>
      <c r="F36">
        <v>26.834997064004696</v>
      </c>
      <c r="G36" s="1">
        <f t="shared" si="0"/>
        <v>109.74750440399296</v>
      </c>
      <c r="H36">
        <f t="shared" si="4"/>
        <v>26.834997064004689</v>
      </c>
    </row>
    <row r="37" spans="1:8" x14ac:dyDescent="0.25">
      <c r="A37" s="1" t="s">
        <v>8</v>
      </c>
      <c r="B37" s="1">
        <v>150</v>
      </c>
      <c r="C37" s="1">
        <v>0.15</v>
      </c>
      <c r="D37" s="1">
        <v>4.3</v>
      </c>
      <c r="E37" s="1">
        <v>60</v>
      </c>
      <c r="F37">
        <v>27.246036406341759</v>
      </c>
      <c r="G37" s="1">
        <f t="shared" si="0"/>
        <v>109.13094539048737</v>
      </c>
      <c r="H37">
        <f t="shared" si="4"/>
        <v>27.246036406341755</v>
      </c>
    </row>
    <row r="38" spans="1:8" x14ac:dyDescent="0.25">
      <c r="A38" s="1" t="s">
        <v>8</v>
      </c>
      <c r="B38" s="1">
        <v>150</v>
      </c>
      <c r="C38" s="1">
        <v>0.15</v>
      </c>
      <c r="D38" s="1">
        <v>4.3</v>
      </c>
      <c r="E38" s="1">
        <v>90</v>
      </c>
      <c r="F38">
        <v>28.831473869641798</v>
      </c>
      <c r="G38" s="1">
        <f t="shared" si="0"/>
        <v>106.7527891955373</v>
      </c>
      <c r="H38">
        <f t="shared" si="4"/>
        <v>28.831473869641798</v>
      </c>
    </row>
    <row r="39" spans="1:8" x14ac:dyDescent="0.25">
      <c r="A39" s="1" t="s">
        <v>8</v>
      </c>
      <c r="B39" s="1">
        <v>150</v>
      </c>
      <c r="C39" s="1">
        <v>0.15</v>
      </c>
      <c r="D39" s="1">
        <v>4.3</v>
      </c>
      <c r="E39" s="1">
        <v>120</v>
      </c>
      <c r="F39">
        <v>35.173223722842032</v>
      </c>
      <c r="G39" s="1">
        <f t="shared" si="0"/>
        <v>97.240164415736956</v>
      </c>
      <c r="H39">
        <f t="shared" si="4"/>
        <v>35.173223722842032</v>
      </c>
    </row>
    <row r="40" spans="1:8" x14ac:dyDescent="0.25">
      <c r="A40" s="1" t="s">
        <v>8</v>
      </c>
      <c r="B40" s="1">
        <v>150</v>
      </c>
      <c r="C40" s="1">
        <v>0.15</v>
      </c>
      <c r="D40" s="1">
        <v>4.3</v>
      </c>
      <c r="E40" s="1">
        <v>150</v>
      </c>
      <c r="F40">
        <v>35.995302407516135</v>
      </c>
      <c r="G40" s="1">
        <f t="shared" si="0"/>
        <v>96.007046388725797</v>
      </c>
      <c r="H40">
        <f t="shared" si="4"/>
        <v>35.995302407516135</v>
      </c>
    </row>
    <row r="41" spans="1:8" x14ac:dyDescent="0.25">
      <c r="A41" s="1" t="s">
        <v>8</v>
      </c>
      <c r="B41" s="1">
        <v>150</v>
      </c>
      <c r="C41" s="1">
        <v>0.15</v>
      </c>
      <c r="D41" s="1">
        <v>4.3</v>
      </c>
      <c r="E41" s="1">
        <v>180</v>
      </c>
      <c r="F41">
        <v>36.934820904286553</v>
      </c>
      <c r="G41" s="1">
        <f t="shared" si="0"/>
        <v>94.597768643570177</v>
      </c>
      <c r="H41">
        <f t="shared" si="4"/>
        <v>36.934820904286546</v>
      </c>
    </row>
    <row r="42" spans="1:8" x14ac:dyDescent="0.25">
      <c r="A42" s="1" t="s">
        <v>8</v>
      </c>
      <c r="B42" s="1">
        <v>300</v>
      </c>
      <c r="C42" s="1">
        <v>0.15</v>
      </c>
      <c r="D42" s="1">
        <v>4.3</v>
      </c>
      <c r="E42" s="1">
        <v>0</v>
      </c>
      <c r="F42">
        <v>0</v>
      </c>
      <c r="G42" s="1">
        <f t="shared" si="0"/>
        <v>300</v>
      </c>
      <c r="H42">
        <f>($B$42-G42)/$B$42*100</f>
        <v>0</v>
      </c>
    </row>
    <row r="43" spans="1:8" x14ac:dyDescent="0.25">
      <c r="A43" s="1" t="s">
        <v>8</v>
      </c>
      <c r="B43" s="1">
        <v>300</v>
      </c>
      <c r="C43" s="1">
        <v>0.15</v>
      </c>
      <c r="D43" s="1">
        <v>4.3</v>
      </c>
      <c r="E43" s="1">
        <v>5</v>
      </c>
      <c r="F43">
        <v>7.3818558123490838</v>
      </c>
      <c r="G43" s="1">
        <f t="shared" si="0"/>
        <v>288.92721628147638</v>
      </c>
      <c r="H43">
        <f t="shared" ref="H43:H51" si="5">($B$42-G43)/$B$42*100</f>
        <v>3.690927906174541</v>
      </c>
    </row>
    <row r="44" spans="1:8" x14ac:dyDescent="0.25">
      <c r="A44" s="1" t="s">
        <v>8</v>
      </c>
      <c r="B44" s="1">
        <v>300</v>
      </c>
      <c r="C44" s="1">
        <v>0.15</v>
      </c>
      <c r="D44" s="1">
        <v>4.3</v>
      </c>
      <c r="E44" s="1">
        <v>15</v>
      </c>
      <c r="F44">
        <v>9.1755777854432772</v>
      </c>
      <c r="G44" s="1">
        <f>B44-F44*(C44/0.1)</f>
        <v>286.23663332183509</v>
      </c>
      <c r="H44">
        <f t="shared" si="5"/>
        <v>4.5877888927216377</v>
      </c>
    </row>
    <row r="45" spans="1:8" x14ac:dyDescent="0.25">
      <c r="A45" s="1" t="s">
        <v>8</v>
      </c>
      <c r="B45" s="1">
        <v>300</v>
      </c>
      <c r="C45" s="1">
        <v>0.15</v>
      </c>
      <c r="D45" s="1">
        <v>4.3</v>
      </c>
      <c r="E45" s="1">
        <v>30</v>
      </c>
      <c r="F45">
        <v>21.593652983787521</v>
      </c>
      <c r="G45" s="1">
        <f t="shared" si="0"/>
        <v>267.60952052431873</v>
      </c>
      <c r="H45">
        <f t="shared" si="5"/>
        <v>10.796826491893759</v>
      </c>
    </row>
    <row r="46" spans="1:8" x14ac:dyDescent="0.25">
      <c r="A46" s="1" t="s">
        <v>8</v>
      </c>
      <c r="B46" s="1">
        <v>300</v>
      </c>
      <c r="C46" s="1">
        <v>0.15</v>
      </c>
      <c r="D46" s="1">
        <v>4.3</v>
      </c>
      <c r="E46" s="1">
        <v>45</v>
      </c>
      <c r="F46">
        <v>28.423594342876836</v>
      </c>
      <c r="G46" s="1">
        <f t="shared" si="0"/>
        <v>257.36460848568476</v>
      </c>
      <c r="H46">
        <f t="shared" si="5"/>
        <v>14.211797171438414</v>
      </c>
    </row>
    <row r="47" spans="1:8" x14ac:dyDescent="0.25">
      <c r="A47" s="1" t="s">
        <v>8</v>
      </c>
      <c r="B47" s="1">
        <v>300</v>
      </c>
      <c r="C47" s="1">
        <v>0.15</v>
      </c>
      <c r="D47" s="1">
        <v>4.3</v>
      </c>
      <c r="E47" s="1">
        <v>60</v>
      </c>
      <c r="F47">
        <v>32.355984822352568</v>
      </c>
      <c r="G47" s="1">
        <f t="shared" si="0"/>
        <v>251.46602276647116</v>
      </c>
      <c r="H47">
        <f t="shared" si="5"/>
        <v>16.17799241117628</v>
      </c>
    </row>
    <row r="48" spans="1:8" x14ac:dyDescent="0.25">
      <c r="A48" s="1" t="s">
        <v>8</v>
      </c>
      <c r="B48" s="1">
        <v>300</v>
      </c>
      <c r="C48" s="1">
        <v>0.15</v>
      </c>
      <c r="D48" s="1">
        <v>4.3</v>
      </c>
      <c r="E48" s="1">
        <v>90</v>
      </c>
      <c r="F48">
        <v>38.909968954812015</v>
      </c>
      <c r="G48" s="1">
        <f t="shared" si="0"/>
        <v>241.63504656778198</v>
      </c>
      <c r="H48">
        <f t="shared" si="5"/>
        <v>19.454984477406008</v>
      </c>
    </row>
    <row r="49" spans="1:8" x14ac:dyDescent="0.25">
      <c r="A49" s="1" t="s">
        <v>8</v>
      </c>
      <c r="B49" s="1">
        <v>300</v>
      </c>
      <c r="C49" s="1">
        <v>0.15</v>
      </c>
      <c r="D49" s="1">
        <v>4.3</v>
      </c>
      <c r="E49" s="1">
        <v>120</v>
      </c>
      <c r="F49">
        <v>43.187305967575014</v>
      </c>
      <c r="G49" s="1">
        <f t="shared" si="0"/>
        <v>235.21904104863751</v>
      </c>
      <c r="H49">
        <f t="shared" si="5"/>
        <v>21.593652983787496</v>
      </c>
    </row>
    <row r="50" spans="1:8" x14ac:dyDescent="0.25">
      <c r="A50" s="1" t="s">
        <v>8</v>
      </c>
      <c r="B50" s="1">
        <v>300</v>
      </c>
      <c r="C50" s="1">
        <v>0.15</v>
      </c>
      <c r="D50" s="1">
        <v>4.3</v>
      </c>
      <c r="E50" s="1">
        <v>150</v>
      </c>
      <c r="F50">
        <v>50.155225939979331</v>
      </c>
      <c r="G50" s="1">
        <f t="shared" si="0"/>
        <v>224.76716109003101</v>
      </c>
      <c r="H50">
        <f t="shared" si="5"/>
        <v>25.077612969989666</v>
      </c>
    </row>
    <row r="51" spans="1:8" x14ac:dyDescent="0.25">
      <c r="A51" s="1" t="s">
        <v>8</v>
      </c>
      <c r="B51" s="1">
        <v>300</v>
      </c>
      <c r="C51" s="1">
        <v>0.15</v>
      </c>
      <c r="D51" s="1">
        <v>4.3</v>
      </c>
      <c r="E51" s="1">
        <v>180</v>
      </c>
      <c r="F51">
        <v>51.535012073128655</v>
      </c>
      <c r="G51" s="1">
        <f t="shared" si="0"/>
        <v>222.69748189030702</v>
      </c>
      <c r="H51">
        <f t="shared" si="5"/>
        <v>25.767506036564324</v>
      </c>
    </row>
    <row r="52" spans="1:8" x14ac:dyDescent="0.25">
      <c r="A52" s="1" t="s">
        <v>9</v>
      </c>
      <c r="B52" s="1">
        <v>15</v>
      </c>
      <c r="C52" s="1">
        <v>0.03</v>
      </c>
      <c r="D52" s="1">
        <v>4.3</v>
      </c>
      <c r="E52">
        <v>0</v>
      </c>
      <c r="F52">
        <v>0</v>
      </c>
      <c r="G52" s="1">
        <f>B52-F52*(C52/0.1)</f>
        <v>15</v>
      </c>
      <c r="H52">
        <f>($B$52-G52)/$B$52*100</f>
        <v>0</v>
      </c>
    </row>
    <row r="53" spans="1:8" x14ac:dyDescent="0.25">
      <c r="A53" s="1" t="s">
        <v>9</v>
      </c>
      <c r="B53" s="1">
        <v>15</v>
      </c>
      <c r="C53" s="1">
        <v>0.03</v>
      </c>
      <c r="D53" s="1">
        <v>4.3</v>
      </c>
      <c r="E53">
        <v>2</v>
      </c>
      <c r="F53">
        <v>17.501989999999999</v>
      </c>
      <c r="G53" s="1">
        <f>B53-F53*(C53/0.1)</f>
        <v>9.7494030000000009</v>
      </c>
      <c r="H53">
        <f t="shared" ref="H53:H61" si="6">($B$52-G53)/$B$52*100</f>
        <v>35.003979999999999</v>
      </c>
    </row>
    <row r="54" spans="1:8" x14ac:dyDescent="0.25">
      <c r="A54" s="1" t="s">
        <v>9</v>
      </c>
      <c r="B54" s="1">
        <v>15</v>
      </c>
      <c r="C54" s="1">
        <v>0.03</v>
      </c>
      <c r="D54" s="1">
        <v>4.3</v>
      </c>
      <c r="E54">
        <v>5</v>
      </c>
      <c r="F54">
        <v>28.162289999999999</v>
      </c>
      <c r="G54" s="1">
        <f t="shared" si="0"/>
        <v>6.5513130000000004</v>
      </c>
      <c r="H54">
        <f t="shared" si="6"/>
        <v>56.324580000000005</v>
      </c>
    </row>
    <row r="55" spans="1:8" x14ac:dyDescent="0.25">
      <c r="A55" s="1" t="s">
        <v>9</v>
      </c>
      <c r="B55" s="1">
        <v>15</v>
      </c>
      <c r="C55" s="1">
        <v>0.03</v>
      </c>
      <c r="D55" s="1">
        <v>4.3</v>
      </c>
      <c r="E55">
        <v>7.5</v>
      </c>
      <c r="F55">
        <v>39.936360000000001</v>
      </c>
      <c r="G55" s="1">
        <f t="shared" si="0"/>
        <v>3.0190920000000006</v>
      </c>
      <c r="H55">
        <f t="shared" si="6"/>
        <v>79.872720000000001</v>
      </c>
    </row>
    <row r="56" spans="1:8" x14ac:dyDescent="0.25">
      <c r="A56" s="1" t="s">
        <v>9</v>
      </c>
      <c r="B56" s="1">
        <v>15</v>
      </c>
      <c r="C56" s="1">
        <v>0.03</v>
      </c>
      <c r="D56" s="1">
        <v>4.3</v>
      </c>
      <c r="E56">
        <v>10</v>
      </c>
      <c r="F56">
        <v>47.573590000000003</v>
      </c>
      <c r="G56" s="1">
        <f>B56-F56*(C56/0.1)</f>
        <v>0.72792299999999877</v>
      </c>
      <c r="H56">
        <f t="shared" si="6"/>
        <v>95.147180000000006</v>
      </c>
    </row>
    <row r="57" spans="1:8" x14ac:dyDescent="0.25">
      <c r="A57" s="1" t="s">
        <v>9</v>
      </c>
      <c r="B57" s="1">
        <v>15</v>
      </c>
      <c r="C57" s="1">
        <v>0.03</v>
      </c>
      <c r="D57" s="1">
        <v>4.3</v>
      </c>
      <c r="E57">
        <v>12.5</v>
      </c>
      <c r="F57">
        <v>55.210819999999998</v>
      </c>
      <c r="G57" s="1">
        <v>0.30661721604401299</v>
      </c>
      <c r="H57">
        <f t="shared" si="6"/>
        <v>97.955885226373255</v>
      </c>
    </row>
    <row r="58" spans="1:8" x14ac:dyDescent="0.25">
      <c r="A58" s="1" t="s">
        <v>9</v>
      </c>
      <c r="B58" s="1">
        <v>15</v>
      </c>
      <c r="C58" s="1">
        <v>0.03</v>
      </c>
      <c r="D58" s="1">
        <v>4.3</v>
      </c>
      <c r="E58">
        <v>15</v>
      </c>
      <c r="F58">
        <v>62.370719999999999</v>
      </c>
      <c r="G58" s="1">
        <v>0.16135014694183106</v>
      </c>
      <c r="H58">
        <f t="shared" si="6"/>
        <v>98.924332353721127</v>
      </c>
    </row>
    <row r="59" spans="1:8" x14ac:dyDescent="0.25">
      <c r="A59" s="1" t="s">
        <v>9</v>
      </c>
      <c r="B59" s="1">
        <v>15</v>
      </c>
      <c r="C59" s="1">
        <v>0.03</v>
      </c>
      <c r="D59" s="1">
        <v>4.3</v>
      </c>
      <c r="E59">
        <v>30</v>
      </c>
      <c r="F59">
        <v>73.508349999999993</v>
      </c>
      <c r="G59" s="1">
        <v>0.10242525986171094</v>
      </c>
      <c r="H59">
        <f t="shared" si="6"/>
        <v>99.31716493425526</v>
      </c>
    </row>
    <row r="60" spans="1:8" x14ac:dyDescent="0.25">
      <c r="A60" s="1" t="s">
        <v>9</v>
      </c>
      <c r="B60" s="1">
        <v>15</v>
      </c>
      <c r="C60" s="1">
        <v>0.03</v>
      </c>
      <c r="D60" s="1">
        <v>4.3</v>
      </c>
      <c r="E60">
        <v>40</v>
      </c>
      <c r="F60">
        <v>87.032619999999994</v>
      </c>
      <c r="G60" s="1">
        <v>8.6767911265168751E-2</v>
      </c>
      <c r="H60">
        <f t="shared" si="6"/>
        <v>99.421547258232209</v>
      </c>
    </row>
    <row r="61" spans="1:8" x14ac:dyDescent="0.25">
      <c r="A61" s="1" t="s">
        <v>9</v>
      </c>
      <c r="B61" s="1">
        <v>15</v>
      </c>
      <c r="C61" s="1">
        <v>0.03</v>
      </c>
      <c r="D61" s="1">
        <v>4.3</v>
      </c>
      <c r="E61">
        <v>60</v>
      </c>
      <c r="F61">
        <v>93.715190000000007</v>
      </c>
      <c r="G61" s="1">
        <v>0.05</v>
      </c>
      <c r="H61">
        <f t="shared" si="6"/>
        <v>99.666666666666657</v>
      </c>
    </row>
    <row r="62" spans="1:8" x14ac:dyDescent="0.25">
      <c r="A62" s="1" t="s">
        <v>9</v>
      </c>
      <c r="B62" s="1">
        <v>20</v>
      </c>
      <c r="C62" s="1">
        <v>0.03</v>
      </c>
      <c r="D62" s="1">
        <v>4.3</v>
      </c>
      <c r="E62">
        <v>0</v>
      </c>
      <c r="F62">
        <v>0</v>
      </c>
      <c r="G62" s="1">
        <f t="shared" si="0"/>
        <v>20</v>
      </c>
      <c r="H62">
        <f>($B$62-G62)/$B$62*100</f>
        <v>0</v>
      </c>
    </row>
    <row r="63" spans="1:8" x14ac:dyDescent="0.25">
      <c r="A63" s="1" t="s">
        <v>9</v>
      </c>
      <c r="B63" s="1">
        <v>20</v>
      </c>
      <c r="C63" s="1">
        <v>0.03</v>
      </c>
      <c r="D63" s="1">
        <v>4.3</v>
      </c>
      <c r="E63">
        <v>2</v>
      </c>
      <c r="F63">
        <v>49.323790000000002</v>
      </c>
      <c r="G63" s="1">
        <f t="shared" si="0"/>
        <v>5.2028630000000007</v>
      </c>
      <c r="H63">
        <f t="shared" ref="H63:H71" si="7">($B$62-G63)/$B$62*100</f>
        <v>73.985685000000004</v>
      </c>
    </row>
    <row r="64" spans="1:8" x14ac:dyDescent="0.25">
      <c r="A64" s="1" t="s">
        <v>9</v>
      </c>
      <c r="B64" s="1">
        <v>20</v>
      </c>
      <c r="C64" s="1">
        <v>0.03</v>
      </c>
      <c r="D64" s="1">
        <v>4.3</v>
      </c>
      <c r="E64">
        <v>5</v>
      </c>
      <c r="F64">
        <v>73.349239999999995</v>
      </c>
      <c r="G64" s="1">
        <f>ABS(B64-F64*(C64/0.1))</f>
        <v>2.0047719999999991</v>
      </c>
      <c r="H64">
        <f t="shared" si="7"/>
        <v>89.976140000000001</v>
      </c>
    </row>
    <row r="65" spans="1:8" x14ac:dyDescent="0.25">
      <c r="A65" s="1" t="s">
        <v>9</v>
      </c>
      <c r="B65" s="1">
        <v>20</v>
      </c>
      <c r="C65" s="1">
        <v>0.03</v>
      </c>
      <c r="D65" s="1">
        <v>4.3</v>
      </c>
      <c r="E65">
        <v>7.5</v>
      </c>
      <c r="F65">
        <v>88.782820000000001</v>
      </c>
      <c r="G65" s="1">
        <f t="shared" ref="G65:G71" si="8">ABS(B65-F65*(C65/0.1))</f>
        <v>6.6348459999999996</v>
      </c>
      <c r="H65">
        <f t="shared" si="7"/>
        <v>66.825770000000006</v>
      </c>
    </row>
    <row r="66" spans="1:8" x14ac:dyDescent="0.25">
      <c r="A66" s="1" t="s">
        <v>9</v>
      </c>
      <c r="B66" s="1">
        <v>20</v>
      </c>
      <c r="C66" s="1">
        <v>0.03</v>
      </c>
      <c r="D66" s="1">
        <v>4.3</v>
      </c>
      <c r="E66">
        <v>10</v>
      </c>
      <c r="F66">
        <v>99.443119999999993</v>
      </c>
      <c r="G66" s="1">
        <f t="shared" si="8"/>
        <v>9.8329359999999966</v>
      </c>
      <c r="H66">
        <f t="shared" si="7"/>
        <v>50.835320000000017</v>
      </c>
    </row>
    <row r="67" spans="1:8" x14ac:dyDescent="0.25">
      <c r="A67" s="1" t="s">
        <v>9</v>
      </c>
      <c r="B67" s="1">
        <v>20</v>
      </c>
      <c r="C67" s="1">
        <v>0.03</v>
      </c>
      <c r="D67" s="1">
        <v>4.3</v>
      </c>
      <c r="E67">
        <v>12.5</v>
      </c>
      <c r="F67">
        <v>107.39857000000001</v>
      </c>
      <c r="G67" s="1">
        <f t="shared" si="8"/>
        <v>12.219571000000002</v>
      </c>
      <c r="H67">
        <f t="shared" si="7"/>
        <v>38.90214499999999</v>
      </c>
    </row>
    <row r="68" spans="1:8" x14ac:dyDescent="0.25">
      <c r="A68" s="1" t="s">
        <v>9</v>
      </c>
      <c r="B68" s="1">
        <v>20</v>
      </c>
      <c r="C68" s="1">
        <v>0.03</v>
      </c>
      <c r="D68" s="1">
        <v>4.3</v>
      </c>
      <c r="E68">
        <v>15</v>
      </c>
      <c r="F68">
        <v>115.35402000000001</v>
      </c>
      <c r="G68" s="1">
        <f t="shared" si="8"/>
        <v>14.606206</v>
      </c>
      <c r="H68">
        <f t="shared" si="7"/>
        <v>26.968969999999999</v>
      </c>
    </row>
    <row r="69" spans="1:8" x14ac:dyDescent="0.25">
      <c r="A69" s="1" t="s">
        <v>9</v>
      </c>
      <c r="B69" s="1">
        <v>20</v>
      </c>
      <c r="C69" s="1">
        <v>0.03</v>
      </c>
      <c r="D69" s="1">
        <v>4.3</v>
      </c>
      <c r="E69">
        <v>30</v>
      </c>
      <c r="F69">
        <v>121.40016</v>
      </c>
      <c r="G69" s="1">
        <f t="shared" si="8"/>
        <v>16.420048000000001</v>
      </c>
      <c r="H69">
        <f t="shared" si="7"/>
        <v>17.899759999999993</v>
      </c>
    </row>
    <row r="70" spans="1:8" x14ac:dyDescent="0.25">
      <c r="A70" s="1" t="s">
        <v>9</v>
      </c>
      <c r="B70" s="1">
        <v>20</v>
      </c>
      <c r="C70" s="1">
        <v>0.03</v>
      </c>
      <c r="D70" s="1">
        <v>4.3</v>
      </c>
      <c r="E70">
        <v>40</v>
      </c>
      <c r="F70">
        <v>128.08274</v>
      </c>
      <c r="G70" s="1">
        <f t="shared" si="8"/>
        <v>18.424821999999999</v>
      </c>
      <c r="H70">
        <f t="shared" si="7"/>
        <v>7.8758900000000045</v>
      </c>
    </row>
    <row r="71" spans="1:8" x14ac:dyDescent="0.25">
      <c r="A71" s="1" t="s">
        <v>9</v>
      </c>
      <c r="B71" s="1">
        <v>20</v>
      </c>
      <c r="C71" s="1">
        <v>0.03</v>
      </c>
      <c r="D71" s="1">
        <v>4.3</v>
      </c>
      <c r="E71">
        <v>60</v>
      </c>
      <c r="F71">
        <v>131.42402999999999</v>
      </c>
      <c r="G71" s="1">
        <f t="shared" si="8"/>
        <v>19.427208999999998</v>
      </c>
      <c r="H71">
        <f t="shared" si="7"/>
        <v>2.8639550000000114</v>
      </c>
    </row>
    <row r="72" spans="1:8" x14ac:dyDescent="0.25">
      <c r="A72" s="1" t="s">
        <v>9</v>
      </c>
      <c r="B72" s="1">
        <v>30</v>
      </c>
      <c r="C72" s="1">
        <v>0.03</v>
      </c>
      <c r="D72" s="1">
        <v>4.3</v>
      </c>
      <c r="E72">
        <v>0</v>
      </c>
      <c r="F72">
        <v>0</v>
      </c>
      <c r="G72" s="1">
        <f t="shared" ref="G72:G86" si="9">B72-F72*(C72/0.1)</f>
        <v>30</v>
      </c>
      <c r="H72">
        <f>($B$72-G72)/$B$72*100</f>
        <v>0</v>
      </c>
    </row>
    <row r="73" spans="1:8" x14ac:dyDescent="0.25">
      <c r="A73" s="1" t="s">
        <v>9</v>
      </c>
      <c r="B73" s="1">
        <v>30</v>
      </c>
      <c r="C73" s="1">
        <v>0.03</v>
      </c>
      <c r="D73" s="1">
        <v>4.3</v>
      </c>
      <c r="E73">
        <v>2</v>
      </c>
      <c r="F73">
        <v>65.552899999999994</v>
      </c>
      <c r="G73" s="1">
        <f t="shared" si="9"/>
        <v>10.334130000000002</v>
      </c>
      <c r="H73">
        <f t="shared" ref="H73:H81" si="10">($B$72-G73)/$B$72*100</f>
        <v>65.552899999999994</v>
      </c>
    </row>
    <row r="74" spans="1:8" x14ac:dyDescent="0.25">
      <c r="A74" s="1" t="s">
        <v>9</v>
      </c>
      <c r="B74" s="1">
        <v>30</v>
      </c>
      <c r="C74" s="1">
        <v>0.03</v>
      </c>
      <c r="D74" s="1">
        <v>4.3</v>
      </c>
      <c r="E74">
        <v>5</v>
      </c>
      <c r="F74">
        <v>83.213999999999999</v>
      </c>
      <c r="G74" s="1">
        <f t="shared" si="9"/>
        <v>5.0358000000000018</v>
      </c>
      <c r="H74">
        <f t="shared" si="10"/>
        <v>83.213999999999999</v>
      </c>
    </row>
    <row r="75" spans="1:8" x14ac:dyDescent="0.25">
      <c r="A75" s="1" t="s">
        <v>9</v>
      </c>
      <c r="B75" s="1">
        <v>30</v>
      </c>
      <c r="C75" s="1">
        <v>0.03</v>
      </c>
      <c r="D75" s="1">
        <v>4.3</v>
      </c>
      <c r="E75">
        <v>7.5</v>
      </c>
      <c r="F75">
        <v>105.80748</v>
      </c>
      <c r="G75" s="1">
        <f>ABS(B75-F75*(C75/0.1))</f>
        <v>1.7422439999999995</v>
      </c>
      <c r="H75">
        <f t="shared" si="10"/>
        <v>94.192520000000002</v>
      </c>
    </row>
    <row r="76" spans="1:8" x14ac:dyDescent="0.25">
      <c r="A76" s="1" t="s">
        <v>9</v>
      </c>
      <c r="B76" s="1">
        <v>30</v>
      </c>
      <c r="C76" s="1">
        <v>0.03</v>
      </c>
      <c r="D76" s="1">
        <v>4.3</v>
      </c>
      <c r="E76">
        <v>10</v>
      </c>
      <c r="F76">
        <v>119.17263</v>
      </c>
      <c r="G76" s="1">
        <f t="shared" ref="G76:G81" si="11">ABS(B76-F76*(C76/0.1))</f>
        <v>5.7517889999999952</v>
      </c>
      <c r="H76">
        <f t="shared" si="10"/>
        <v>80.827370000000016</v>
      </c>
    </row>
    <row r="77" spans="1:8" x14ac:dyDescent="0.25">
      <c r="A77" s="1" t="s">
        <v>9</v>
      </c>
      <c r="B77" s="1">
        <v>30</v>
      </c>
      <c r="C77" s="1">
        <v>0.03</v>
      </c>
      <c r="D77" s="1">
        <v>4.3</v>
      </c>
      <c r="E77">
        <v>12.5</v>
      </c>
      <c r="F77">
        <v>141.607</v>
      </c>
      <c r="G77" s="1">
        <f t="shared" si="11"/>
        <v>12.482099999999996</v>
      </c>
      <c r="H77">
        <f t="shared" si="10"/>
        <v>58.393000000000015</v>
      </c>
    </row>
    <row r="78" spans="1:8" x14ac:dyDescent="0.25">
      <c r="A78" s="1" t="s">
        <v>9</v>
      </c>
      <c r="B78" s="1">
        <v>30</v>
      </c>
      <c r="C78" s="1">
        <v>0.03</v>
      </c>
      <c r="D78" s="1">
        <v>4.3</v>
      </c>
      <c r="E78">
        <v>15</v>
      </c>
      <c r="F78">
        <v>137.15195</v>
      </c>
      <c r="G78" s="1">
        <f t="shared" si="11"/>
        <v>11.145584999999997</v>
      </c>
      <c r="H78">
        <f t="shared" si="10"/>
        <v>62.848050000000008</v>
      </c>
    </row>
    <row r="79" spans="1:8" x14ac:dyDescent="0.25">
      <c r="A79" s="1" t="s">
        <v>9</v>
      </c>
      <c r="B79" s="1">
        <v>30</v>
      </c>
      <c r="C79" s="1">
        <v>0.03</v>
      </c>
      <c r="D79" s="1">
        <v>4.3</v>
      </c>
      <c r="E79">
        <v>30</v>
      </c>
      <c r="F79">
        <v>171.67859999999999</v>
      </c>
      <c r="G79" s="1">
        <f t="shared" si="11"/>
        <v>21.503579999999992</v>
      </c>
      <c r="H79">
        <f t="shared" si="10"/>
        <v>28.321400000000025</v>
      </c>
    </row>
    <row r="80" spans="1:8" x14ac:dyDescent="0.25">
      <c r="A80" s="1" t="s">
        <v>9</v>
      </c>
      <c r="B80" s="1">
        <v>30</v>
      </c>
      <c r="C80" s="1">
        <v>0.03</v>
      </c>
      <c r="D80" s="1">
        <v>4.3</v>
      </c>
      <c r="E80">
        <v>40</v>
      </c>
      <c r="F80">
        <v>180.74780999999999</v>
      </c>
      <c r="G80" s="1">
        <f t="shared" si="11"/>
        <v>24.224342999999998</v>
      </c>
      <c r="H80">
        <f t="shared" si="10"/>
        <v>19.252190000000009</v>
      </c>
    </row>
    <row r="81" spans="1:8" x14ac:dyDescent="0.25">
      <c r="A81" s="1" t="s">
        <v>9</v>
      </c>
      <c r="B81" s="1">
        <v>30</v>
      </c>
      <c r="C81" s="1">
        <v>0.03</v>
      </c>
      <c r="D81" s="1">
        <v>4.3</v>
      </c>
      <c r="E81">
        <v>60</v>
      </c>
      <c r="F81">
        <v>188.06683000000001</v>
      </c>
      <c r="G81" s="1">
        <f t="shared" si="11"/>
        <v>26.420048999999999</v>
      </c>
      <c r="H81">
        <f t="shared" si="10"/>
        <v>11.933170000000004</v>
      </c>
    </row>
    <row r="82" spans="1:8" x14ac:dyDescent="0.25">
      <c r="A82" s="1" t="s">
        <v>9</v>
      </c>
      <c r="B82" s="1">
        <v>40</v>
      </c>
      <c r="C82" s="1">
        <v>0.03</v>
      </c>
      <c r="D82" s="1">
        <v>4.3</v>
      </c>
      <c r="E82">
        <v>0</v>
      </c>
      <c r="F82">
        <v>0</v>
      </c>
      <c r="G82" s="1">
        <f t="shared" si="9"/>
        <v>40</v>
      </c>
      <c r="H82">
        <f>($B$82-G82)/$B$82*100</f>
        <v>0</v>
      </c>
    </row>
    <row r="83" spans="1:8" x14ac:dyDescent="0.25">
      <c r="A83" s="1" t="s">
        <v>9</v>
      </c>
      <c r="B83" s="1">
        <v>40</v>
      </c>
      <c r="C83" s="1">
        <v>0.03</v>
      </c>
      <c r="D83" s="1">
        <v>4.3</v>
      </c>
      <c r="E83">
        <v>2</v>
      </c>
      <c r="F83">
        <v>58.711219999999997</v>
      </c>
      <c r="G83" s="1">
        <f t="shared" si="9"/>
        <v>22.386634000000001</v>
      </c>
      <c r="H83">
        <f t="shared" ref="H83:H91" si="12">($B$82-G83)/$B$82*100</f>
        <v>44.033414999999998</v>
      </c>
    </row>
    <row r="84" spans="1:8" x14ac:dyDescent="0.25">
      <c r="A84" s="1" t="s">
        <v>9</v>
      </c>
      <c r="B84" s="1">
        <v>40</v>
      </c>
      <c r="C84" s="1">
        <v>0.03</v>
      </c>
      <c r="D84" s="1">
        <v>4.3</v>
      </c>
      <c r="E84">
        <v>5</v>
      </c>
      <c r="F84">
        <v>87.828159999999997</v>
      </c>
      <c r="G84" s="1">
        <f t="shared" si="9"/>
        <v>13.651552000000002</v>
      </c>
      <c r="H84">
        <f t="shared" si="12"/>
        <v>65.871119999999991</v>
      </c>
    </row>
    <row r="85" spans="1:8" x14ac:dyDescent="0.25">
      <c r="A85" s="1" t="s">
        <v>9</v>
      </c>
      <c r="B85" s="1">
        <v>40</v>
      </c>
      <c r="C85" s="1">
        <v>0.03</v>
      </c>
      <c r="D85" s="1">
        <v>4.3</v>
      </c>
      <c r="E85">
        <v>7.5</v>
      </c>
      <c r="F85">
        <v>111.05807</v>
      </c>
      <c r="G85" s="1">
        <f t="shared" si="9"/>
        <v>6.682579000000004</v>
      </c>
      <c r="H85">
        <f t="shared" si="12"/>
        <v>83.29355249999999</v>
      </c>
    </row>
    <row r="86" spans="1:8" x14ac:dyDescent="0.25">
      <c r="A86" s="1" t="s">
        <v>9</v>
      </c>
      <c r="B86" s="1">
        <v>40</v>
      </c>
      <c r="C86" s="1">
        <v>0.03</v>
      </c>
      <c r="D86" s="1">
        <v>4.3</v>
      </c>
      <c r="E86">
        <v>10</v>
      </c>
      <c r="F86">
        <v>128.71916999999999</v>
      </c>
      <c r="G86" s="1">
        <f t="shared" si="9"/>
        <v>1.3842490000000041</v>
      </c>
      <c r="H86">
        <f t="shared" si="12"/>
        <v>96.539377499999986</v>
      </c>
    </row>
    <row r="87" spans="1:8" x14ac:dyDescent="0.25">
      <c r="A87" s="1" t="s">
        <v>9</v>
      </c>
      <c r="B87" s="1">
        <v>40</v>
      </c>
      <c r="C87" s="1">
        <v>0.03</v>
      </c>
      <c r="D87" s="1">
        <v>4.3</v>
      </c>
      <c r="E87">
        <v>12.5</v>
      </c>
      <c r="F87">
        <v>144.94828999999999</v>
      </c>
      <c r="G87" s="1">
        <f>ABS(B87-F87*(C87/0.1))</f>
        <v>3.4844869999999943</v>
      </c>
      <c r="H87">
        <f t="shared" si="12"/>
        <v>91.288782500000011</v>
      </c>
    </row>
    <row r="88" spans="1:8" x14ac:dyDescent="0.25">
      <c r="A88" s="1" t="s">
        <v>9</v>
      </c>
      <c r="B88" s="1">
        <v>40</v>
      </c>
      <c r="C88" s="1">
        <v>0.03</v>
      </c>
      <c r="D88" s="1">
        <v>4.3</v>
      </c>
      <c r="E88">
        <v>15</v>
      </c>
      <c r="F88">
        <v>153.69927999999999</v>
      </c>
      <c r="G88" s="1">
        <f t="shared" ref="G88:G91" si="13">ABS(B88-F88*(C88/0.1))</f>
        <v>6.1097839999999977</v>
      </c>
      <c r="H88">
        <f t="shared" si="12"/>
        <v>84.725540000000009</v>
      </c>
    </row>
    <row r="89" spans="1:8" x14ac:dyDescent="0.25">
      <c r="A89" s="1" t="s">
        <v>9</v>
      </c>
      <c r="B89" s="1">
        <v>40</v>
      </c>
      <c r="C89" s="1">
        <v>0.03</v>
      </c>
      <c r="D89" s="1">
        <v>4.3</v>
      </c>
      <c r="E89">
        <v>30</v>
      </c>
      <c r="F89">
        <v>176.29275999999999</v>
      </c>
      <c r="G89" s="1">
        <f t="shared" si="13"/>
        <v>12.887827999999992</v>
      </c>
      <c r="H89">
        <f t="shared" si="12"/>
        <v>67.780430000000024</v>
      </c>
    </row>
    <row r="90" spans="1:8" x14ac:dyDescent="0.25">
      <c r="A90" s="1" t="s">
        <v>9</v>
      </c>
      <c r="B90" s="1">
        <v>40</v>
      </c>
      <c r="C90" s="1">
        <v>0.03</v>
      </c>
      <c r="D90" s="1">
        <v>4.3</v>
      </c>
      <c r="E90">
        <v>40</v>
      </c>
      <c r="F90">
        <v>206.04614000000001</v>
      </c>
      <c r="G90" s="1">
        <f t="shared" si="13"/>
        <v>21.813842000000001</v>
      </c>
      <c r="H90">
        <f t="shared" si="12"/>
        <v>45.465395000000001</v>
      </c>
    </row>
    <row r="91" spans="1:8" x14ac:dyDescent="0.25">
      <c r="A91" s="1" t="s">
        <v>9</v>
      </c>
      <c r="B91" s="1">
        <v>40</v>
      </c>
      <c r="C91" s="1">
        <v>0.03</v>
      </c>
      <c r="D91" s="1">
        <v>4.3</v>
      </c>
      <c r="E91">
        <v>60</v>
      </c>
      <c r="F91">
        <v>226.5712</v>
      </c>
      <c r="G91" s="1">
        <f t="shared" si="13"/>
        <v>27.971360000000004</v>
      </c>
      <c r="H91">
        <f t="shared" si="12"/>
        <v>30.071599999999986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8CCE-B3D7-4044-BA1C-3C4272494518}">
  <dimension ref="A1"/>
  <sheetViews>
    <sheetView workbookViewId="0">
      <selection activeCell="D16" sqref="D1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Planilha2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</dc:creator>
  <cp:lastModifiedBy>Leandro Rodrigues Oviedo</cp:lastModifiedBy>
  <dcterms:created xsi:type="dcterms:W3CDTF">2023-08-30T16:42:57Z</dcterms:created>
  <dcterms:modified xsi:type="dcterms:W3CDTF">2025-12-16T05:35:06Z</dcterms:modified>
</cp:coreProperties>
</file>